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ice Master" sheetId="2" state="visible" r:id="rId4"/>
    <sheet name="Channel Economics" sheetId="3" state="visible" r:id="rId5"/>
    <sheet name="KD Component Pricing" sheetId="4" state="visible" r:id="rId6"/>
    <sheet name="Pricing Evolution" sheetId="5" state="visible" r:id="rId7"/>
    <sheet name="Orders Summary" sheetId="6" state="visible" r:id="rId8"/>
    <sheet name="Dealer Jobs" sheetId="7" state="visible" r:id="rId9"/>
    <sheet name="Quote Log" sheetId="8" state="visible" r:id="rId10"/>
    <sheet name="Cabinet Line Items" sheetId="9" state="visible" r:id="rId11"/>
    <sheet name="Quote Line Item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Source: ILLUSTRATIVE. Real values from Southbrook_Cabinetry_Dealer_Kitchen_Program.xls Price Master tab when #8 lands.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0" authorId="0">
      <text>
        <r>
          <rPr>
            <sz val="10"/>
            <rFont val="Arial"/>
            <family val="2"/>
          </rPr>
          <t xml:space="preserve">Refacing: computed live by custom routine #2. Shown as 0.65× retail for illustrative seed only.</t>
        </r>
      </text>
    </comment>
  </commentList>
</comments>
</file>

<file path=xl/sharedStrings.xml><?xml version="1.0" encoding="utf-8"?>
<sst xmlns="http://schemas.openxmlformats.org/spreadsheetml/2006/main" count="387" uniqueCount="252">
  <si>
    <t xml:space="preserve">Southbrook Consolidated Dataset — Illustrative Seed</t>
  </si>
  <si>
    <t xml:space="preserve">Mode</t>
  </si>
  <si>
    <t xml:space="preserve">ILLUSTRATIVE (per Build Spec §9.3)</t>
  </si>
  <si>
    <t xml:space="preserve">Generated</t>
  </si>
  <si>
    <t xml:space="preserve">2026-05-29</t>
  </si>
  <si>
    <t xml:space="preserve">Purpose</t>
  </si>
  <si>
    <t xml:space="preserve">Phase-1 seed data for southbrook_estimating addon</t>
  </si>
  <si>
    <t xml:space="preserve">Source</t>
  </si>
  <si>
    <t xml:space="preserve">Shape-correct placeholders. Real $-values land when artifact #8 (Southbrook_Cabinetry_Dealer_Kitchen_Program.xls) is parsed.</t>
  </si>
  <si>
    <t xml:space="preserve">Tabs (10)</t>
  </si>
  <si>
    <t xml:space="preserve">  1. README</t>
  </si>
  <si>
    <t xml:space="preserve">This sheet</t>
  </si>
  <si>
    <t xml:space="preserve">  2. Price Master</t>
  </si>
  <si>
    <t xml:space="preserve">Width × Series list-price grid (the canonical pricing table)</t>
  </si>
  <si>
    <t xml:space="preserve">  3. Channel Economics</t>
  </si>
  <si>
    <t xml:space="preserve">The 6 pricelists with their mechanics + sample order math</t>
  </si>
  <si>
    <t xml:space="preserve">  4. KD Component Pricing</t>
  </si>
  <si>
    <t xml:space="preserve">Knock-down channel: per-component pricing at ~46% of retail</t>
  </si>
  <si>
    <t xml:space="preserve">  5. Pricing Evolution</t>
  </si>
  <si>
    <t xml:space="preserve">Tradesperson tier discount table (25/30/35%)</t>
  </si>
  <si>
    <t xml:space="preserve">  6. Orders Summary</t>
  </si>
  <si>
    <t xml:space="preserve">5 illustrative orders covering channels + series mix</t>
  </si>
  <si>
    <t xml:space="preserve">  7. Dealer Jobs</t>
  </si>
  <si>
    <t xml:space="preserve">Image Floor / Amazing Window / Pro Finish / Richwood scoreboard</t>
  </si>
  <si>
    <t xml:space="preserve">  8. Quote Log</t>
  </si>
  <si>
    <t xml:space="preserve">Won / lost / open quote tracking</t>
  </si>
  <si>
    <t xml:space="preserve">  9. Cabinet Line Items</t>
  </si>
  <si>
    <t xml:space="preserve">Line-level detail for the 5 orders</t>
  </si>
  <si>
    <t xml:space="preserve"> 10. Quote Line Items</t>
  </si>
  <si>
    <t xml:space="preserve">Line-level detail for open quotes</t>
  </si>
  <si>
    <t xml:space="preserve">Color conventions</t>
  </si>
  <si>
    <t xml:space="preserve">  Blue text</t>
  </si>
  <si>
    <t xml:space="preserve">Hardcoded inputs — change to model scenarios</t>
  </si>
  <si>
    <t xml:space="preserve">  Black text</t>
  </si>
  <si>
    <t xml:space="preserve">Formulas</t>
  </si>
  <si>
    <t xml:space="preserve">  Green text</t>
  </si>
  <si>
    <t xml:space="preserve">Cross-sheet references</t>
  </si>
  <si>
    <t xml:space="preserve">  Yellow background</t>
  </si>
  <si>
    <t xml:space="preserve">Key assumptions</t>
  </si>
  <si>
    <t xml:space="preserve">  Cream background</t>
  </si>
  <si>
    <t xml:space="preserve">Illustrative-mode warning rows</t>
  </si>
  <si>
    <t xml:space="preserve">Seed-mode flag</t>
  </si>
  <si>
    <t xml:space="preserve">When loaded, southbrook.config.parameter seed_mode = 'illustrative'.</t>
  </si>
  <si>
    <t xml:space="preserve">Phase 1 smoke test asserts on this flag; setting it to 'canonical' is the post-#8-parse promotion.</t>
  </si>
  <si>
    <t xml:space="preserve">Maple-box uplift</t>
  </si>
  <si>
    <t xml:space="preserve">+10% price, +2 weeks lead time (Q3 lead_time_extra mechanism)</t>
  </si>
  <si>
    <t xml:space="preserve">Maple available on</t>
  </si>
  <si>
    <t xml:space="preserve">Contemporary, Elegance only (Rule 2)</t>
  </si>
  <si>
    <t xml:space="preserve">Cross-references</t>
  </si>
  <si>
    <t xml:space="preserve">  docs/CLAUDE.md</t>
  </si>
  <si>
    <t xml:space="preserve">The brief</t>
  </si>
  <si>
    <t xml:space="preserve">  docs/SAMI_Southbrook_Odoo19_Build_Spec.md §6</t>
  </si>
  <si>
    <t xml:space="preserve">Channel pricelist mechanics</t>
  </si>
  <si>
    <t xml:space="preserve">  docs/Southbrook_Excel_to_Odoo_Mapping.md §3.2</t>
  </si>
  <si>
    <t xml:space="preserve">Pricelist seed instructions</t>
  </si>
  <si>
    <t xml:space="preserve">  docs/PRODBOARD_MANIFEST.md</t>
  </si>
  <si>
    <t xml:space="preserve">Visual / UX architecture</t>
  </si>
  <si>
    <t xml:space="preserve">Price Master — List Prices by Width × Series (ILLUSTRATIVE)</t>
  </si>
  <si>
    <t xml:space="preserve">ILLUSTRATIVE numbers. Real values land when #8 workbook is parsed. The price *shape* (Contractor cheapest, Signature most expensive, monotonic in width) is correct.</t>
  </si>
  <si>
    <t xml:space="preserve">Width (in)</t>
  </si>
  <si>
    <t xml:space="preserve">Width (mm)</t>
  </si>
  <si>
    <t xml:space="preserve">Door Count Rule</t>
  </si>
  <si>
    <t xml:space="preserve">Contractor ($)</t>
  </si>
  <si>
    <t xml:space="preserve">Contemporary ($)</t>
  </si>
  <si>
    <t xml:space="preserve">Elegance ($)</t>
  </si>
  <si>
    <t xml:space="preserve">Signature ($)</t>
  </si>
  <si>
    <t xml:space="preserve">1-door (Rule 3)</t>
  </si>
  <si>
    <t xml:space="preserve">2-door (Rule 3)</t>
  </si>
  <si>
    <t xml:space="preserve">Maple box uplift</t>
  </si>
  <si>
    <t xml:space="preserve">+10%</t>
  </si>
  <si>
    <t xml:space="preserve">N/A (white only)</t>
  </si>
  <si>
    <t xml:space="preserve">+10% available</t>
  </si>
  <si>
    <t xml:space="preserve">Maple lead-time bump</t>
  </si>
  <si>
    <t xml:space="preserve">+2 weeks (Rule 2)</t>
  </si>
  <si>
    <t xml:space="preserve">Channel Economics — The 6 Pricelists with Mechanics</t>
  </si>
  <si>
    <t xml:space="preserve">ILLUSTRATIVE. Mechanics (50% dealer, ~46% KD, etc.) are canonical from Build Spec §6; the demo $-values are placeholders.</t>
  </si>
  <si>
    <t xml:space="preserve">Channel Key</t>
  </si>
  <si>
    <t xml:space="preserve">UI Label</t>
  </si>
  <si>
    <t xml:space="preserve">Mechanic</t>
  </si>
  <si>
    <t xml:space="preserve">Multiplier</t>
  </si>
  <si>
    <t xml:space="preserve">Sample: 24″ Contemporary 2-door retail $</t>
  </si>
  <si>
    <t xml:space="preserve">Resulting Channel Price ($)</t>
  </si>
  <si>
    <t xml:space="preserve">retail</t>
  </si>
  <si>
    <t xml:space="preserve">Retail (List Price)</t>
  </si>
  <si>
    <t xml:space="preserve">List price ×1.00</t>
  </si>
  <si>
    <t xml:space="preserve">dealer</t>
  </si>
  <si>
    <t xml:space="preserve">Dealer (−50%)</t>
  </si>
  <si>
    <t xml:space="preserve">List × 0.50</t>
  </si>
  <si>
    <t xml:space="preserve">tradesperson</t>
  </si>
  <si>
    <t xml:space="preserve">Contractor Pricing (Tier 3)</t>
  </si>
  <si>
    <t xml:space="preserve">Cost × 1.05 → tier 3 (−35%) ⇒ ~0.65× retail-equiv</t>
  </si>
  <si>
    <t xml:space="preserve">kd</t>
  </si>
  <si>
    <t xml:space="preserve">Central KD</t>
  </si>
  <si>
    <t xml:space="preserve">Component pricing ≈ 46% of retail (no assembly)</t>
  </si>
  <si>
    <t xml:space="preserve">bigbox</t>
  </si>
  <si>
    <t xml:space="preserve">Big-Box Wholesale</t>
  </si>
  <si>
    <t xml:space="preserve">Fixed $65 cost / $98 retail per SKU (flat override)</t>
  </si>
  <si>
    <t xml:space="preserve">see mech</t>
  </si>
  <si>
    <t xml:space="preserve">refacing</t>
  </si>
  <si>
    <t xml:space="preserve">Refacing (CTHS)</t>
  </si>
  <si>
    <t xml:space="preserve">Per-SF; computed live to hit 35% target margin</t>
  </si>
  <si>
    <t xml:space="preserve">Sample comparison</t>
  </si>
  <si>
    <t xml:space="preserve">9-line smoke-test kitchen, Contemporary series, maple box</t>
  </si>
  <si>
    <t xml:space="preserve">Retail total</t>
  </si>
  <si>
    <t xml:space="preserve">At Tradesperson Tier 3 (−35%)</t>
  </si>
  <si>
    <t xml:space="preserve">At Dealer (−50%)</t>
  </si>
  <si>
    <t xml:space="preserve">Central KD — Knock-Down Component Pricing</t>
  </si>
  <si>
    <t xml:space="preserve">ILLUSTRATIVE. Real component-level prices land when #8 parsed. The ~46% of assembled retail benchmark IS canonical (key Southbrook strategic anchor).</t>
  </si>
  <si>
    <t xml:space="preserve">Component</t>
  </si>
  <si>
    <t xml:space="preserve">Material</t>
  </si>
  <si>
    <t xml:space="preserve">Unit</t>
  </si>
  <si>
    <t xml:space="preserve">Unit Cost ($)</t>
  </si>
  <si>
    <t xml:space="preserve">Retail Equiv. (assembled) ($)</t>
  </si>
  <si>
    <t xml:space="preserve">KD % of Retail</t>
  </si>
  <si>
    <t xml:space="preserve">Side panel L 30×24×0.625</t>
  </si>
  <si>
    <t xml:space="preserve">white_melamine</t>
  </si>
  <si>
    <t xml:space="preserve">each</t>
  </si>
  <si>
    <t xml:space="preserve">Side panel R 30×24×0.625</t>
  </si>
  <si>
    <t xml:space="preserve">Top panel 24×30×0.625</t>
  </si>
  <si>
    <t xml:space="preserve">Bottom panel 24×30×0.625</t>
  </si>
  <si>
    <t xml:space="preserve">Back panel 30×24×0.25</t>
  </si>
  <si>
    <t xml:space="preserve">hardboard</t>
  </si>
  <si>
    <t xml:space="preserve">Shelf 24×11×0.625</t>
  </si>
  <si>
    <t xml:space="preserve">Door 24×30</t>
  </si>
  <si>
    <t xml:space="preserve">thermofoil</t>
  </si>
  <si>
    <t xml:space="preserve">Door 12×30</t>
  </si>
  <si>
    <t xml:space="preserve">Hinge pair (soft-close)</t>
  </si>
  <si>
    <t xml:space="preserve">blum_compact</t>
  </si>
  <si>
    <t xml:space="preserve">set</t>
  </si>
  <si>
    <t xml:space="preserve">Drawer slide pair 21"</t>
  </si>
  <si>
    <t xml:space="preserve">blum_movento</t>
  </si>
  <si>
    <t xml:space="preserve">Handle 96mm</t>
  </si>
  <si>
    <t xml:space="preserve">satin_nickel</t>
  </si>
  <si>
    <t xml:space="preserve">Edge banding 0.5mm</t>
  </si>
  <si>
    <t xml:space="preserve">PVC</t>
  </si>
  <si>
    <t xml:space="preserve">metre</t>
  </si>
  <si>
    <t xml:space="preserve">KD weighted average</t>
  </si>
  <si>
    <t xml:space="preserve">Tradesperson Channel — Tier Discount Schedule</t>
  </si>
  <si>
    <t xml:space="preserve">Mechanic canonical (Build Spec §6); tier thresholds illustrative. Real volume thresholds land with #8.</t>
  </si>
  <si>
    <t xml:space="preserve">Tier</t>
  </si>
  <si>
    <t xml:space="preserve">Annual Volume Threshold ($)</t>
  </si>
  <si>
    <t xml:space="preserve">Discount off Cost+5%</t>
  </si>
  <si>
    <t xml:space="preserve">Effective Multiplier</t>
  </si>
  <si>
    <t xml:space="preserve">Effective % of Retail (24″ Contemp)</t>
  </si>
  <si>
    <t xml:space="preserve">Tier 1</t>
  </si>
  <si>
    <t xml:space="preserve">Tier 2</t>
  </si>
  <si>
    <t xml:space="preserve">Tier 3</t>
  </si>
  <si>
    <t xml:space="preserve">Default tier on new tradesperson partners</t>
  </si>
  <si>
    <t xml:space="preserve">Tier 3 (NF5)</t>
  </si>
  <si>
    <t xml:space="preserve">Orders Summary — 5 Illustrative Orders</t>
  </si>
  <si>
    <t xml:space="preserve">ILLUSTRATIVE orders covering each channel + the 4 series. Exercises Phase 1 smoke test mechanics.</t>
  </si>
  <si>
    <t xml:space="preserve">Order #</t>
  </si>
  <si>
    <t xml:space="preserve">Customer</t>
  </si>
  <si>
    <t xml:space="preserve">Channel</t>
  </si>
  <si>
    <t xml:space="preserve">Series</t>
  </si>
  <si>
    <t xml:space="preserve">Stage</t>
  </si>
  <si>
    <t xml:space="preserve">Order Date</t>
  </si>
  <si>
    <t xml:space="preserve">Confirmed Date</t>
  </si>
  <si>
    <t xml:space="preserve">Lines</t>
  </si>
  <si>
    <t xml:space="preserve">Subtotal ($)</t>
  </si>
  <si>
    <t xml:space="preserve">Total ($)</t>
  </si>
  <si>
    <t xml:space="preserve">SO-2026-0001</t>
  </si>
  <si>
    <t xml:space="preserve">Demo Tradesperson (Tier 3)</t>
  </si>
  <si>
    <t xml:space="preserve">contemporary</t>
  </si>
  <si>
    <t xml:space="preserve">Confirmed</t>
  </si>
  <si>
    <t xml:space="preserve">2026-05-12</t>
  </si>
  <si>
    <t xml:space="preserve">2026-05-15</t>
  </si>
  <si>
    <t xml:space="preserve">SO-2026-0002</t>
  </si>
  <si>
    <t xml:space="preserve">Richwood Renovations</t>
  </si>
  <si>
    <t xml:space="preserve">elegance</t>
  </si>
  <si>
    <t xml:space="preserve">In Production</t>
  </si>
  <si>
    <t xml:space="preserve">2026-04-28</t>
  </si>
  <si>
    <t xml:space="preserve">2026-05-02</t>
  </si>
  <si>
    <t xml:space="preserve">SO-2026-0003</t>
  </si>
  <si>
    <t xml:space="preserve">Image Floor</t>
  </si>
  <si>
    <t xml:space="preserve">Estimating</t>
  </si>
  <si>
    <t xml:space="preserve">2026-05-20</t>
  </si>
  <si>
    <t xml:space="preserve">SO-2026-0004</t>
  </si>
  <si>
    <t xml:space="preserve">Central Kitchens (KD)</t>
  </si>
  <si>
    <t xml:space="preserve">contractor</t>
  </si>
  <si>
    <t xml:space="preserve">2026-05-08</t>
  </si>
  <si>
    <t xml:space="preserve">2026-05-09</t>
  </si>
  <si>
    <t xml:space="preserve">SO-2026-0005</t>
  </si>
  <si>
    <t xml:space="preserve">Lowe's Big-Box PO #4421</t>
  </si>
  <si>
    <t xml:space="preserve">2026-05-16</t>
  </si>
  <si>
    <t xml:space="preserve">Dealer Jobs — 4-Dealer Scoreboard</t>
  </si>
  <si>
    <t xml:space="preserve">ILLUSTRATIVE 12-month rolling counts. Real numbers from Quote Log + Orders tabs of #8.</t>
  </si>
  <si>
    <t xml:space="preserve">Dealer</t>
  </si>
  <si>
    <t xml:space="preserve">Channel Tier</t>
  </si>
  <si>
    <t xml:space="preserve">Open Quotes</t>
  </si>
  <si>
    <t xml:space="preserve">Won (YTD)</t>
  </si>
  <si>
    <t xml:space="preserve">Lost (YTD)</t>
  </si>
  <si>
    <t xml:space="preserve">Win Rate</t>
  </si>
  <si>
    <t xml:space="preserve">Revenue YTD ($)</t>
  </si>
  <si>
    <t xml:space="preserve">Amazing Window</t>
  </si>
  <si>
    <t xml:space="preserve">Pro Finish</t>
  </si>
  <si>
    <t xml:space="preserve">TOTAL</t>
  </si>
  <si>
    <t xml:space="preserve">Quote Log — Won / Lost / Open</t>
  </si>
  <si>
    <t xml:space="preserve">ILLUSTRATIVE quote pipeline. Becomes crm.lead records in Odoo per Mapping §3.9.</t>
  </si>
  <si>
    <t xml:space="preserve">Quote #</t>
  </si>
  <si>
    <t xml:space="preserve">Date</t>
  </si>
  <si>
    <t xml:space="preserve">Value ($)</t>
  </si>
  <si>
    <t xml:space="preserve">Days Open</t>
  </si>
  <si>
    <t xml:space="preserve">Q-2026-0142</t>
  </si>
  <si>
    <t xml:space="preserve">2026-05-22</t>
  </si>
  <si>
    <t xml:space="preserve">Jordan &amp; Liu</t>
  </si>
  <si>
    <t xml:space="preserve">Open</t>
  </si>
  <si>
    <t xml:space="preserve">Q-2026-0143</t>
  </si>
  <si>
    <t xml:space="preserve">2026-05-19</t>
  </si>
  <si>
    <t xml:space="preserve">M. Patel</t>
  </si>
  <si>
    <t xml:space="preserve">Q-2026-0140</t>
  </si>
  <si>
    <t xml:space="preserve">Chen Renovation</t>
  </si>
  <si>
    <t xml:space="preserve">signature</t>
  </si>
  <si>
    <t xml:space="preserve">Won</t>
  </si>
  <si>
    <t xml:space="preserve">Q-2026-0138</t>
  </si>
  <si>
    <t xml:space="preserve">P. Reeves</t>
  </si>
  <si>
    <t xml:space="preserve">Lost</t>
  </si>
  <si>
    <t xml:space="preserve">Q-2026-0144</t>
  </si>
  <si>
    <t xml:space="preserve">2026-05-25</t>
  </si>
  <si>
    <t xml:space="preserve">Singh Family</t>
  </si>
  <si>
    <t xml:space="preserve">Q-2026-0141</t>
  </si>
  <si>
    <t xml:space="preserve">2026-05-18</t>
  </si>
  <si>
    <t xml:space="preserve">Tremblay (custom)</t>
  </si>
  <si>
    <t xml:space="preserve">Cabinet Line Items — Smoke-Test Order Detail</t>
  </si>
  <si>
    <t xml:space="preserve">ILLUSTRATIVE. The 9 lines of SO-2026-0001 (Demo Tradesperson Tier 3, Contemporary series, maple box). Exact lines from Mapping §6 smoke test.</t>
  </si>
  <si>
    <t xml:space="preserve">Line #</t>
  </si>
  <si>
    <t xml:space="preserve">Template (xml_id)</t>
  </si>
  <si>
    <t xml:space="preserve">Box Material</t>
  </si>
  <si>
    <t xml:space="preserve">Retail Each ($)</t>
  </si>
  <si>
    <t xml:space="preserve">Qty</t>
  </si>
  <si>
    <t xml:space="preserve">Line Total Retail ($)</t>
  </si>
  <si>
    <t xml:space="preserve">Tier-3 Price ($)</t>
  </si>
  <si>
    <t xml:space="preserve">Maple Uplift ($)</t>
  </si>
  <si>
    <t xml:space="preserve">Lead Time (wks)</t>
  </si>
  <si>
    <t xml:space="preserve">southbrook.base_1dr</t>
  </si>
  <si>
    <t xml:space="preserve">maple</t>
  </si>
  <si>
    <t xml:space="preserve">+2 (maple)</t>
  </si>
  <si>
    <t xml:space="preserve">southbrook.base_2dr</t>
  </si>
  <si>
    <t xml:space="preserve">southbrook.drawer_bank</t>
  </si>
  <si>
    <t xml:space="preserve">southbrook.sink_base</t>
  </si>
  <si>
    <t xml:space="preserve">southbrook.wall_1dr</t>
  </si>
  <si>
    <t xml:space="preserve">southbrook.wall_2dr</t>
  </si>
  <si>
    <t xml:space="preserve">southbrook.tall_pantry</t>
  </si>
  <si>
    <t xml:space="preserve">southbrook.accessory</t>
  </si>
  <si>
    <t xml:space="preserve">—</t>
  </si>
  <si>
    <t xml:space="preserve">southbrook.worktop</t>
  </si>
  <si>
    <t xml:space="preserve">n/a</t>
  </si>
  <si>
    <t xml:space="preserve">Quote Line Items — Open Quote Detail</t>
  </si>
  <si>
    <t xml:space="preserve">ILLUSTRATIVE. Sample of 1 open quote (Q-2026-0142) with 9 lines to mirror smoke-test shape — Image Floor dealer pricing applied.</t>
  </si>
  <si>
    <t xml:space="preserve">Template</t>
  </si>
  <si>
    <t xml:space="preserve">Line Retail ($)</t>
  </si>
  <si>
    <t xml:space="preserve">Dealer Price (−50%) ($)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</si>
</sst>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"/>
    <numFmt numFmtId="167" formatCode="\$#,##0.00"/>
    <numFmt numFmtId="168" formatCode="0.0%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0606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3" t="s">
        <v>9</v>
      </c>
      <c r="B8" s="2"/>
    </row>
    <row r="9" customFormat="false" ht="1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s">
        <v>13</v>
      </c>
    </row>
    <row r="11" customFormat="false" ht="15" hidden="false" customHeight="false" outlineLevel="0" collapsed="false">
      <c r="A11" s="2" t="s">
        <v>14</v>
      </c>
      <c r="B11" s="2" t="s">
        <v>15</v>
      </c>
    </row>
    <row r="12" customFormat="false" ht="15" hidden="false" customHeight="false" outlineLevel="0" collapsed="false">
      <c r="A12" s="2" t="s">
        <v>16</v>
      </c>
      <c r="B12" s="2" t="s">
        <v>17</v>
      </c>
    </row>
    <row r="13" customFormat="false" ht="15" hidden="false" customHeight="false" outlineLevel="0" collapsed="false">
      <c r="A13" s="2" t="s">
        <v>18</v>
      </c>
      <c r="B13" s="2" t="s">
        <v>19</v>
      </c>
    </row>
    <row r="14" customFormat="false" ht="15" hidden="false" customHeight="false" outlineLevel="0" collapsed="false">
      <c r="A14" s="2" t="s">
        <v>20</v>
      </c>
      <c r="B14" s="2" t="s">
        <v>21</v>
      </c>
    </row>
    <row r="15" customFormat="false" ht="15" hidden="false" customHeight="false" outlineLevel="0" collapsed="false">
      <c r="A15" s="2" t="s">
        <v>22</v>
      </c>
      <c r="B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</row>
    <row r="17" customFormat="false" ht="15" hidden="false" customHeight="false" outlineLevel="0" collapsed="false">
      <c r="A17" s="2" t="s">
        <v>26</v>
      </c>
      <c r="B17" s="2" t="s">
        <v>27</v>
      </c>
    </row>
    <row r="18" customFormat="false" ht="15" hidden="false" customHeight="false" outlineLevel="0" collapsed="false">
      <c r="A18" s="2" t="s">
        <v>28</v>
      </c>
      <c r="B18" s="2" t="s">
        <v>29</v>
      </c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3" t="s">
        <v>30</v>
      </c>
      <c r="B20" s="2"/>
    </row>
    <row r="21" customFormat="false" ht="15" hidden="false" customHeight="false" outlineLevel="0" collapsed="false">
      <c r="A21" s="2" t="s">
        <v>31</v>
      </c>
      <c r="B21" s="2" t="s">
        <v>32</v>
      </c>
    </row>
    <row r="22" customFormat="false" ht="15" hidden="false" customHeight="false" outlineLevel="0" collapsed="false">
      <c r="A22" s="2" t="s">
        <v>33</v>
      </c>
      <c r="B22" s="2" t="s">
        <v>34</v>
      </c>
    </row>
    <row r="23" customFormat="false" ht="15" hidden="false" customHeight="false" outlineLevel="0" collapsed="false">
      <c r="A23" s="2" t="s">
        <v>35</v>
      </c>
      <c r="B23" s="2" t="s">
        <v>36</v>
      </c>
    </row>
    <row r="24" customFormat="false" ht="15" hidden="false" customHeight="false" outlineLevel="0" collapsed="false">
      <c r="A24" s="2" t="s">
        <v>37</v>
      </c>
      <c r="B24" s="2" t="s">
        <v>38</v>
      </c>
    </row>
    <row r="25" customFormat="false" ht="15" hidden="false" customHeight="false" outlineLevel="0" collapsed="false">
      <c r="A25" s="2" t="s">
        <v>39</v>
      </c>
      <c r="B25" s="2" t="s">
        <v>40</v>
      </c>
    </row>
    <row r="26" customFormat="false" ht="15" hidden="false" customHeight="false" outlineLevel="0" collapsed="false">
      <c r="A26" s="2"/>
      <c r="B26" s="2"/>
    </row>
    <row r="27" customFormat="false" ht="15" hidden="false" customHeight="false" outlineLevel="0" collapsed="false">
      <c r="A27" s="3" t="s">
        <v>41</v>
      </c>
      <c r="B27" s="2" t="s">
        <v>42</v>
      </c>
    </row>
    <row r="28" customFormat="false" ht="15" hidden="false" customHeight="false" outlineLevel="0" collapsed="false">
      <c r="A28" s="2"/>
      <c r="B28" s="2" t="s">
        <v>43</v>
      </c>
    </row>
    <row r="29" customFormat="false" ht="15" hidden="false" customHeight="false" outlineLevel="0" collapsed="false">
      <c r="A29" s="2"/>
      <c r="B29" s="2"/>
    </row>
    <row r="30" customFormat="false" ht="15" hidden="false" customHeight="false" outlineLevel="0" collapsed="false">
      <c r="A30" s="3" t="s">
        <v>44</v>
      </c>
      <c r="B30" s="2" t="s">
        <v>45</v>
      </c>
    </row>
    <row r="31" customFormat="false" ht="15" hidden="false" customHeight="false" outlineLevel="0" collapsed="false">
      <c r="A31" s="3" t="s">
        <v>46</v>
      </c>
      <c r="B31" s="2" t="s">
        <v>47</v>
      </c>
    </row>
    <row r="32" customFormat="false" ht="15" hidden="false" customHeight="false" outlineLevel="0" collapsed="false">
      <c r="A32" s="2"/>
      <c r="B32" s="2"/>
    </row>
    <row r="33" customFormat="false" ht="15" hidden="false" customHeight="false" outlineLevel="0" collapsed="false">
      <c r="A33" s="3" t="s">
        <v>48</v>
      </c>
      <c r="B33" s="2"/>
    </row>
    <row r="34" customFormat="false" ht="15" hidden="false" customHeight="false" outlineLevel="0" collapsed="false">
      <c r="A34" s="2" t="s">
        <v>49</v>
      </c>
      <c r="B34" s="2" t="s">
        <v>50</v>
      </c>
    </row>
    <row r="35" customFormat="false" ht="15" hidden="false" customHeight="false" outlineLevel="0" collapsed="false">
      <c r="A35" s="2" t="s">
        <v>51</v>
      </c>
      <c r="B35" s="2" t="s">
        <v>52</v>
      </c>
    </row>
    <row r="36" customFormat="false" ht="15" hidden="false" customHeight="false" outlineLevel="0" collapsed="false">
      <c r="A36" s="2" t="s">
        <v>53</v>
      </c>
      <c r="B36" s="2" t="s">
        <v>54</v>
      </c>
    </row>
    <row r="37" customFormat="false" ht="15" hidden="false" customHeight="false" outlineLevel="0" collapsed="false">
      <c r="A37" s="2" t="s">
        <v>55</v>
      </c>
      <c r="B37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21.75" hidden="false" customHeight="true" outlineLevel="0" collapsed="false">
      <c r="A1" s="1" t="s">
        <v>57</v>
      </c>
    </row>
    <row r="2" customFormat="false" ht="15" hidden="false" customHeight="false" outlineLevel="0" collapsed="false">
      <c r="A2" s="4" t="s">
        <v>58</v>
      </c>
    </row>
    <row r="4" customFormat="false" ht="15" hidden="false" customHeight="false" outlineLevel="0" collapsed="false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</row>
    <row r="5" customFormat="false" ht="15" hidden="false" customHeight="false" outlineLevel="0" collapsed="false">
      <c r="A5" s="6" t="n">
        <v>9</v>
      </c>
      <c r="B5" s="6" t="n">
        <v>228</v>
      </c>
      <c r="C5" s="7" t="s">
        <v>66</v>
      </c>
      <c r="D5" s="8" t="n">
        <v>95</v>
      </c>
      <c r="E5" s="9" t="n">
        <f aca="false">D5*1.25</f>
        <v>118.75</v>
      </c>
      <c r="F5" s="9" t="n">
        <f aca="false">D5*1.5</f>
        <v>142.5</v>
      </c>
      <c r="G5" s="9" t="n">
        <f aca="false">D5*1.9</f>
        <v>180.5</v>
      </c>
    </row>
    <row r="6" customFormat="false" ht="15" hidden="false" customHeight="false" outlineLevel="0" collapsed="false">
      <c r="A6" s="6" t="n">
        <v>12</v>
      </c>
      <c r="B6" s="6" t="n">
        <v>304</v>
      </c>
      <c r="C6" s="7" t="s">
        <v>66</v>
      </c>
      <c r="D6" s="8" t="n">
        <v>161</v>
      </c>
      <c r="E6" s="9" t="n">
        <f aca="false">D6*1.25</f>
        <v>201.25</v>
      </c>
      <c r="F6" s="9" t="n">
        <f aca="false">D6*1.5</f>
        <v>241.5</v>
      </c>
      <c r="G6" s="9" t="n">
        <f aca="false">D6*1.9</f>
        <v>305.9</v>
      </c>
    </row>
    <row r="7" customFormat="false" ht="15" hidden="false" customHeight="false" outlineLevel="0" collapsed="false">
      <c r="A7" s="6" t="n">
        <v>15</v>
      </c>
      <c r="B7" s="6" t="n">
        <v>381</v>
      </c>
      <c r="C7" s="7" t="s">
        <v>66</v>
      </c>
      <c r="D7" s="8" t="n">
        <v>227</v>
      </c>
      <c r="E7" s="9" t="n">
        <f aca="false">D7*1.25</f>
        <v>283.75</v>
      </c>
      <c r="F7" s="9" t="n">
        <f aca="false">D7*1.5</f>
        <v>340.5</v>
      </c>
      <c r="G7" s="9" t="n">
        <f aca="false">D7*1.9</f>
        <v>431.3</v>
      </c>
    </row>
    <row r="8" customFormat="false" ht="15" hidden="false" customHeight="false" outlineLevel="0" collapsed="false">
      <c r="A8" s="6" t="n">
        <v>18</v>
      </c>
      <c r="B8" s="6" t="n">
        <v>457</v>
      </c>
      <c r="C8" s="7" t="s">
        <v>66</v>
      </c>
      <c r="D8" s="8" t="n">
        <v>293</v>
      </c>
      <c r="E8" s="9" t="n">
        <f aca="false">D8*1.25</f>
        <v>366.25</v>
      </c>
      <c r="F8" s="9" t="n">
        <f aca="false">D8*1.5</f>
        <v>439.5</v>
      </c>
      <c r="G8" s="9" t="n">
        <f aca="false">D8*1.9</f>
        <v>556.7</v>
      </c>
    </row>
    <row r="9" customFormat="false" ht="15" hidden="false" customHeight="false" outlineLevel="0" collapsed="false">
      <c r="A9" s="6" t="n">
        <v>21</v>
      </c>
      <c r="B9" s="6" t="n">
        <v>533</v>
      </c>
      <c r="C9" s="7" t="s">
        <v>66</v>
      </c>
      <c r="D9" s="8" t="n">
        <v>359</v>
      </c>
      <c r="E9" s="9" t="n">
        <f aca="false">D9*1.25</f>
        <v>448.75</v>
      </c>
      <c r="F9" s="9" t="n">
        <f aca="false">D9*1.5</f>
        <v>538.5</v>
      </c>
      <c r="G9" s="9" t="n">
        <f aca="false">D9*1.9</f>
        <v>682.1</v>
      </c>
    </row>
    <row r="10" customFormat="false" ht="15" hidden="false" customHeight="false" outlineLevel="0" collapsed="false">
      <c r="A10" s="6" t="n">
        <v>24</v>
      </c>
      <c r="B10" s="6" t="n">
        <v>609</v>
      </c>
      <c r="C10" s="7" t="s">
        <v>67</v>
      </c>
      <c r="D10" s="8" t="n">
        <v>425</v>
      </c>
      <c r="E10" s="9" t="n">
        <f aca="false">D10*1.25</f>
        <v>531.25</v>
      </c>
      <c r="F10" s="9" t="n">
        <f aca="false">D10*1.5</f>
        <v>637.5</v>
      </c>
      <c r="G10" s="9" t="n">
        <f aca="false">D10*1.9</f>
        <v>807.5</v>
      </c>
    </row>
    <row r="11" customFormat="false" ht="15" hidden="false" customHeight="false" outlineLevel="0" collapsed="false">
      <c r="A11" s="6" t="n">
        <v>27</v>
      </c>
      <c r="B11" s="6" t="n">
        <v>685</v>
      </c>
      <c r="C11" s="7" t="s">
        <v>67</v>
      </c>
      <c r="D11" s="8" t="n">
        <v>491</v>
      </c>
      <c r="E11" s="9" t="n">
        <f aca="false">D11*1.25</f>
        <v>613.75</v>
      </c>
      <c r="F11" s="9" t="n">
        <f aca="false">D11*1.5</f>
        <v>736.5</v>
      </c>
      <c r="G11" s="9" t="n">
        <f aca="false">D11*1.9</f>
        <v>932.9</v>
      </c>
    </row>
    <row r="12" customFormat="false" ht="15" hidden="false" customHeight="false" outlineLevel="0" collapsed="false">
      <c r="A12" s="6" t="n">
        <v>30</v>
      </c>
      <c r="B12" s="6" t="n">
        <v>762</v>
      </c>
      <c r="C12" s="7" t="s">
        <v>67</v>
      </c>
      <c r="D12" s="8" t="n">
        <v>557</v>
      </c>
      <c r="E12" s="9" t="n">
        <f aca="false">D12*1.25</f>
        <v>696.25</v>
      </c>
      <c r="F12" s="9" t="n">
        <f aca="false">D12*1.5</f>
        <v>835.5</v>
      </c>
      <c r="G12" s="9" t="n">
        <f aca="false">D12*1.9</f>
        <v>1058.3</v>
      </c>
    </row>
    <row r="13" customFormat="false" ht="15" hidden="false" customHeight="false" outlineLevel="0" collapsed="false">
      <c r="A13" s="6" t="n">
        <v>33</v>
      </c>
      <c r="B13" s="6" t="n">
        <v>838</v>
      </c>
      <c r="C13" s="7" t="s">
        <v>67</v>
      </c>
      <c r="D13" s="8" t="n">
        <v>623</v>
      </c>
      <c r="E13" s="9" t="n">
        <f aca="false">D13*1.25</f>
        <v>778.75</v>
      </c>
      <c r="F13" s="9" t="n">
        <f aca="false">D13*1.5</f>
        <v>934.5</v>
      </c>
      <c r="G13" s="9" t="n">
        <f aca="false">D13*1.9</f>
        <v>1183.7</v>
      </c>
    </row>
    <row r="14" customFormat="false" ht="15" hidden="false" customHeight="false" outlineLevel="0" collapsed="false">
      <c r="A14" s="6" t="n">
        <v>36</v>
      </c>
      <c r="B14" s="6" t="n">
        <v>914</v>
      </c>
      <c r="C14" s="7" t="s">
        <v>67</v>
      </c>
      <c r="D14" s="8" t="n">
        <v>689</v>
      </c>
      <c r="E14" s="9" t="n">
        <f aca="false">D14*1.25</f>
        <v>861.25</v>
      </c>
      <c r="F14" s="9" t="n">
        <f aca="false">D14*1.5</f>
        <v>1033.5</v>
      </c>
      <c r="G14" s="9" t="n">
        <f aca="false">D14*1.9</f>
        <v>1309.1</v>
      </c>
    </row>
    <row r="16" customFormat="false" ht="15" hidden="false" customHeight="false" outlineLevel="0" collapsed="false">
      <c r="A16" s="10" t="s">
        <v>68</v>
      </c>
      <c r="D16" s="11" t="s">
        <v>69</v>
      </c>
      <c r="E16" s="12" t="s">
        <v>70</v>
      </c>
      <c r="F16" s="13" t="s">
        <v>71</v>
      </c>
      <c r="G16" s="13" t="s">
        <v>71</v>
      </c>
    </row>
    <row r="17" customFormat="false" ht="15" hidden="false" customHeight="false" outlineLevel="0" collapsed="false">
      <c r="A17" s="10" t="s">
        <v>72</v>
      </c>
      <c r="D17" s="14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1" t="s">
        <v>74</v>
      </c>
    </row>
    <row r="2" customFormat="false" ht="15" hidden="false" customHeight="false" outlineLevel="0" collapsed="false">
      <c r="A2" s="4" t="s">
        <v>75</v>
      </c>
    </row>
    <row r="4" customFormat="false" ht="15" hidden="false" customHeight="false" outlineLevel="0" collapsed="false">
      <c r="A4" s="5" t="s">
        <v>76</v>
      </c>
      <c r="B4" s="5" t="s">
        <v>77</v>
      </c>
      <c r="C4" s="5" t="s">
        <v>78</v>
      </c>
      <c r="D4" s="5" t="s">
        <v>79</v>
      </c>
      <c r="E4" s="5" t="s">
        <v>80</v>
      </c>
      <c r="F4" s="5" t="s">
        <v>81</v>
      </c>
    </row>
    <row r="5" customFormat="false" ht="15" hidden="false" customHeight="false" outlineLevel="0" collapsed="false">
      <c r="A5" s="6" t="s">
        <v>82</v>
      </c>
      <c r="B5" s="7" t="s">
        <v>83</v>
      </c>
      <c r="C5" s="7" t="s">
        <v>84</v>
      </c>
      <c r="D5" s="15" t="n">
        <v>1</v>
      </c>
      <c r="E5" s="16" t="n">
        <f aca="false">'Price Master'!E10</f>
        <v>531.25</v>
      </c>
      <c r="F5" s="17" t="n">
        <f aca="false">E5*D5</f>
        <v>531.25</v>
      </c>
    </row>
    <row r="6" customFormat="false" ht="15" hidden="false" customHeight="false" outlineLevel="0" collapsed="false">
      <c r="A6" s="6" t="s">
        <v>85</v>
      </c>
      <c r="B6" s="7" t="s">
        <v>86</v>
      </c>
      <c r="C6" s="7" t="s">
        <v>87</v>
      </c>
      <c r="D6" s="15" t="n">
        <v>0.5</v>
      </c>
      <c r="E6" s="16" t="n">
        <f aca="false">'Price Master'!E10</f>
        <v>531.25</v>
      </c>
      <c r="F6" s="17" t="n">
        <f aca="false">E6*D6</f>
        <v>265.625</v>
      </c>
    </row>
    <row r="7" customFormat="false" ht="15" hidden="false" customHeight="false" outlineLevel="0" collapsed="false">
      <c r="A7" s="6" t="s">
        <v>88</v>
      </c>
      <c r="B7" s="7" t="s">
        <v>89</v>
      </c>
      <c r="C7" s="7" t="s">
        <v>90</v>
      </c>
      <c r="D7" s="15" t="n">
        <v>0.65</v>
      </c>
      <c r="E7" s="16" t="n">
        <f aca="false">'Price Master'!E10</f>
        <v>531.25</v>
      </c>
      <c r="F7" s="17" t="n">
        <f aca="false">E7*D7</f>
        <v>345.3125</v>
      </c>
    </row>
    <row r="8" customFormat="false" ht="15" hidden="false" customHeight="false" outlineLevel="0" collapsed="false">
      <c r="A8" s="6" t="s">
        <v>91</v>
      </c>
      <c r="B8" s="7" t="s">
        <v>92</v>
      </c>
      <c r="C8" s="7" t="s">
        <v>93</v>
      </c>
      <c r="D8" s="15" t="n">
        <v>0.46</v>
      </c>
      <c r="E8" s="16" t="n">
        <f aca="false">'Price Master'!E10</f>
        <v>531.25</v>
      </c>
      <c r="F8" s="17" t="n">
        <f aca="false">E8*D8</f>
        <v>244.375</v>
      </c>
    </row>
    <row r="9" customFormat="false" ht="15" hidden="false" customHeight="false" outlineLevel="0" collapsed="false">
      <c r="A9" s="6" t="s">
        <v>94</v>
      </c>
      <c r="B9" s="7" t="s">
        <v>95</v>
      </c>
      <c r="C9" s="7" t="s">
        <v>96</v>
      </c>
      <c r="D9" s="18" t="s">
        <v>97</v>
      </c>
      <c r="E9" s="16" t="n">
        <f aca="false">'Price Master'!E10</f>
        <v>531.25</v>
      </c>
      <c r="F9" s="19" t="n">
        <v>98</v>
      </c>
    </row>
    <row r="10" customFormat="false" ht="15" hidden="false" customHeight="false" outlineLevel="0" collapsed="false">
      <c r="A10" s="6" t="s">
        <v>98</v>
      </c>
      <c r="B10" s="7" t="s">
        <v>99</v>
      </c>
      <c r="C10" s="7" t="s">
        <v>100</v>
      </c>
      <c r="D10" s="18" t="s">
        <v>97</v>
      </c>
      <c r="E10" s="16" t="n">
        <f aca="false">'Price Master'!E10</f>
        <v>531.25</v>
      </c>
      <c r="F10" s="17" t="n">
        <f aca="false">E10*0.65</f>
        <v>345.3125</v>
      </c>
    </row>
    <row r="13" customFormat="false" ht="15" hidden="false" customHeight="false" outlineLevel="0" collapsed="false">
      <c r="A13" s="20" t="s">
        <v>101</v>
      </c>
      <c r="B13" s="12" t="s">
        <v>102</v>
      </c>
    </row>
    <row r="14" customFormat="false" ht="15" hidden="false" customHeight="false" outlineLevel="0" collapsed="false">
      <c r="A14" s="13" t="s">
        <v>103</v>
      </c>
      <c r="B14" s="21" t="n">
        <f aca="false">SUMPRODUCT('Cabinet Line Items'!F2:F10,'Cabinet Line Items'!G2:G10)</f>
        <v>0</v>
      </c>
    </row>
    <row r="15" customFormat="false" ht="15" hidden="false" customHeight="false" outlineLevel="0" collapsed="false">
      <c r="A15" s="13" t="s">
        <v>104</v>
      </c>
      <c r="B15" s="22" t="n">
        <f aca="false">B14*0.65</f>
        <v>0</v>
      </c>
    </row>
    <row r="16" customFormat="false" ht="15" hidden="false" customHeight="false" outlineLevel="0" collapsed="false">
      <c r="A16" s="13" t="s">
        <v>105</v>
      </c>
      <c r="B16" s="22" t="n">
        <f aca="false">B14*0.5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" t="s">
        <v>106</v>
      </c>
    </row>
    <row r="2" customFormat="false" ht="15" hidden="false" customHeight="false" outlineLevel="0" collapsed="false">
      <c r="A2" s="4" t="s">
        <v>107</v>
      </c>
    </row>
    <row r="4" customFormat="false" ht="15" hidden="false" customHeight="false" outlineLevel="0" collapsed="false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5" t="s">
        <v>113</v>
      </c>
    </row>
    <row r="5" customFormat="false" ht="15" hidden="false" customHeight="false" outlineLevel="0" collapsed="false">
      <c r="A5" s="7" t="s">
        <v>114</v>
      </c>
      <c r="B5" s="7" t="s">
        <v>115</v>
      </c>
      <c r="C5" s="7" t="s">
        <v>116</v>
      </c>
      <c r="D5" s="23" t="n">
        <v>8.5</v>
      </c>
      <c r="E5" s="23" t="n">
        <v>18.5</v>
      </c>
      <c r="F5" s="24" t="n">
        <f aca="false">D5/E5</f>
        <v>0.45945945945946</v>
      </c>
    </row>
    <row r="6" customFormat="false" ht="15" hidden="false" customHeight="false" outlineLevel="0" collapsed="false">
      <c r="A6" s="7" t="s">
        <v>117</v>
      </c>
      <c r="B6" s="7" t="s">
        <v>115</v>
      </c>
      <c r="C6" s="7" t="s">
        <v>116</v>
      </c>
      <c r="D6" s="23" t="n">
        <v>8.5</v>
      </c>
      <c r="E6" s="23" t="n">
        <v>18.5</v>
      </c>
      <c r="F6" s="24" t="n">
        <f aca="false">D6/E6</f>
        <v>0.45945945945946</v>
      </c>
    </row>
    <row r="7" customFormat="false" ht="15" hidden="false" customHeight="false" outlineLevel="0" collapsed="false">
      <c r="A7" s="7" t="s">
        <v>118</v>
      </c>
      <c r="B7" s="7" t="s">
        <v>115</v>
      </c>
      <c r="C7" s="7" t="s">
        <v>116</v>
      </c>
      <c r="D7" s="23" t="n">
        <v>6.2</v>
      </c>
      <c r="E7" s="23" t="n">
        <v>13.5</v>
      </c>
      <c r="F7" s="24" t="n">
        <f aca="false">D7/E7</f>
        <v>0.459259259259259</v>
      </c>
    </row>
    <row r="8" customFormat="false" ht="15" hidden="false" customHeight="false" outlineLevel="0" collapsed="false">
      <c r="A8" s="7" t="s">
        <v>119</v>
      </c>
      <c r="B8" s="7" t="s">
        <v>115</v>
      </c>
      <c r="C8" s="7" t="s">
        <v>116</v>
      </c>
      <c r="D8" s="23" t="n">
        <v>6.2</v>
      </c>
      <c r="E8" s="23" t="n">
        <v>13.5</v>
      </c>
      <c r="F8" s="24" t="n">
        <f aca="false">D8/E8</f>
        <v>0.459259259259259</v>
      </c>
    </row>
    <row r="9" customFormat="false" ht="15" hidden="false" customHeight="false" outlineLevel="0" collapsed="false">
      <c r="A9" s="7" t="s">
        <v>120</v>
      </c>
      <c r="B9" s="7" t="s">
        <v>121</v>
      </c>
      <c r="C9" s="7" t="s">
        <v>116</v>
      </c>
      <c r="D9" s="23" t="n">
        <v>3.1</v>
      </c>
      <c r="E9" s="23" t="n">
        <v>6.8</v>
      </c>
      <c r="F9" s="24" t="n">
        <f aca="false">D9/E9</f>
        <v>0.455882352941177</v>
      </c>
    </row>
    <row r="10" customFormat="false" ht="15" hidden="false" customHeight="false" outlineLevel="0" collapsed="false">
      <c r="A10" s="7" t="s">
        <v>122</v>
      </c>
      <c r="B10" s="7" t="s">
        <v>115</v>
      </c>
      <c r="C10" s="7" t="s">
        <v>116</v>
      </c>
      <c r="D10" s="23" t="n">
        <v>4.5</v>
      </c>
      <c r="E10" s="23" t="n">
        <v>9.8</v>
      </c>
      <c r="F10" s="24" t="n">
        <f aca="false">D10/E10</f>
        <v>0.459183673469388</v>
      </c>
    </row>
    <row r="11" customFormat="false" ht="15" hidden="false" customHeight="false" outlineLevel="0" collapsed="false">
      <c r="A11" s="7" t="s">
        <v>123</v>
      </c>
      <c r="B11" s="7" t="s">
        <v>124</v>
      </c>
      <c r="C11" s="7" t="s">
        <v>116</v>
      </c>
      <c r="D11" s="23" t="n">
        <v>22</v>
      </c>
      <c r="E11" s="23" t="n">
        <v>48</v>
      </c>
      <c r="F11" s="24" t="n">
        <f aca="false">D11/E11</f>
        <v>0.458333333333333</v>
      </c>
    </row>
    <row r="12" customFormat="false" ht="15" hidden="false" customHeight="false" outlineLevel="0" collapsed="false">
      <c r="A12" s="7" t="s">
        <v>125</v>
      </c>
      <c r="B12" s="7" t="s">
        <v>124</v>
      </c>
      <c r="C12" s="7" t="s">
        <v>116</v>
      </c>
      <c r="D12" s="23" t="n">
        <v>13.5</v>
      </c>
      <c r="E12" s="23" t="n">
        <v>29.5</v>
      </c>
      <c r="F12" s="24" t="n">
        <f aca="false">D12/E12</f>
        <v>0.457627118644068</v>
      </c>
    </row>
    <row r="13" customFormat="false" ht="15" hidden="false" customHeight="false" outlineLevel="0" collapsed="false">
      <c r="A13" s="7" t="s">
        <v>126</v>
      </c>
      <c r="B13" s="7" t="s">
        <v>127</v>
      </c>
      <c r="C13" s="7" t="s">
        <v>128</v>
      </c>
      <c r="D13" s="23" t="n">
        <v>4.2</v>
      </c>
      <c r="E13" s="23" t="n">
        <v>9.2</v>
      </c>
      <c r="F13" s="24" t="n">
        <f aca="false">D13/E13</f>
        <v>0.456521739130435</v>
      </c>
    </row>
    <row r="14" customFormat="false" ht="15" hidden="false" customHeight="false" outlineLevel="0" collapsed="false">
      <c r="A14" s="7" t="s">
        <v>129</v>
      </c>
      <c r="B14" s="7" t="s">
        <v>130</v>
      </c>
      <c r="C14" s="7" t="s">
        <v>128</v>
      </c>
      <c r="D14" s="23" t="n">
        <v>11.5</v>
      </c>
      <c r="E14" s="23" t="n">
        <v>25</v>
      </c>
      <c r="F14" s="24" t="n">
        <f aca="false">D14/E14</f>
        <v>0.46</v>
      </c>
    </row>
    <row r="15" customFormat="false" ht="15" hidden="false" customHeight="false" outlineLevel="0" collapsed="false">
      <c r="A15" s="7" t="s">
        <v>131</v>
      </c>
      <c r="B15" s="7" t="s">
        <v>132</v>
      </c>
      <c r="C15" s="7" t="s">
        <v>116</v>
      </c>
      <c r="D15" s="23" t="n">
        <v>2.8</v>
      </c>
      <c r="E15" s="23" t="n">
        <v>6.2</v>
      </c>
      <c r="F15" s="24" t="n">
        <f aca="false">D15/E15</f>
        <v>0.451612903225806</v>
      </c>
    </row>
    <row r="16" customFormat="false" ht="15" hidden="false" customHeight="false" outlineLevel="0" collapsed="false">
      <c r="A16" s="7" t="s">
        <v>133</v>
      </c>
      <c r="B16" s="7" t="s">
        <v>134</v>
      </c>
      <c r="C16" s="7" t="s">
        <v>135</v>
      </c>
      <c r="D16" s="23" t="n">
        <v>0.85</v>
      </c>
      <c r="E16" s="23" t="n">
        <v>1.85</v>
      </c>
      <c r="F16" s="24" t="n">
        <f aca="false">D16/E16</f>
        <v>0.459459459459459</v>
      </c>
    </row>
    <row r="18" customFormat="false" ht="15" hidden="false" customHeight="false" outlineLevel="0" collapsed="false">
      <c r="A18" s="10" t="s">
        <v>136</v>
      </c>
      <c r="F18" s="25" t="n">
        <f aca="false">AVERAGE(F5:F16)</f>
        <v>0.458004834803425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5" min="5" style="0" width="36"/>
  </cols>
  <sheetData>
    <row r="1" customFormat="false" ht="21.75" hidden="false" customHeight="true" outlineLevel="0" collapsed="false">
      <c r="A1" s="1" t="s">
        <v>137</v>
      </c>
    </row>
    <row r="2" customFormat="false" ht="15" hidden="false" customHeight="false" outlineLevel="0" collapsed="false">
      <c r="A2" s="4" t="s">
        <v>138</v>
      </c>
    </row>
    <row r="4" customFormat="false" ht="15" hidden="false" customHeight="false" outlineLevel="0" collapsed="false">
      <c r="A4" s="5" t="s">
        <v>139</v>
      </c>
      <c r="B4" s="5" t="s">
        <v>140</v>
      </c>
      <c r="C4" s="5" t="s">
        <v>141</v>
      </c>
      <c r="D4" s="5" t="s">
        <v>142</v>
      </c>
      <c r="E4" s="5" t="s">
        <v>143</v>
      </c>
    </row>
    <row r="5" customFormat="false" ht="15" hidden="false" customHeight="false" outlineLevel="0" collapsed="false">
      <c r="A5" s="7" t="s">
        <v>144</v>
      </c>
      <c r="B5" s="19" t="n">
        <v>0</v>
      </c>
      <c r="C5" s="26" t="n">
        <v>0.25</v>
      </c>
      <c r="D5" s="15" t="n">
        <v>0.75</v>
      </c>
      <c r="E5" s="27" t="n">
        <f aca="false">D5</f>
        <v>0.75</v>
      </c>
    </row>
    <row r="6" customFormat="false" ht="15" hidden="false" customHeight="false" outlineLevel="0" collapsed="false">
      <c r="A6" s="7" t="s">
        <v>145</v>
      </c>
      <c r="B6" s="19" t="n">
        <v>50000</v>
      </c>
      <c r="C6" s="26" t="n">
        <v>0.3</v>
      </c>
      <c r="D6" s="15" t="n">
        <v>0.7</v>
      </c>
      <c r="E6" s="27" t="n">
        <f aca="false">D6</f>
        <v>0.7</v>
      </c>
    </row>
    <row r="7" customFormat="false" ht="15" hidden="false" customHeight="false" outlineLevel="0" collapsed="false">
      <c r="A7" s="7" t="s">
        <v>146</v>
      </c>
      <c r="B7" s="19" t="n">
        <v>150000</v>
      </c>
      <c r="C7" s="26" t="n">
        <v>0.35</v>
      </c>
      <c r="D7" s="15" t="n">
        <v>0.65</v>
      </c>
      <c r="E7" s="27" t="n">
        <f aca="false">D7</f>
        <v>0.65</v>
      </c>
    </row>
    <row r="9" customFormat="false" ht="15" hidden="false" customHeight="false" outlineLevel="0" collapsed="false">
      <c r="A9" s="10" t="s">
        <v>147</v>
      </c>
      <c r="B9" s="11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4"/>
  </cols>
  <sheetData>
    <row r="1" customFormat="false" ht="21.75" hidden="false" customHeight="true" outlineLevel="0" collapsed="false">
      <c r="A1" s="1" t="s">
        <v>149</v>
      </c>
    </row>
    <row r="2" customFormat="false" ht="15" hidden="false" customHeight="false" outlineLevel="0" collapsed="false">
      <c r="A2" s="4" t="s">
        <v>150</v>
      </c>
    </row>
    <row r="4" customFormat="false" ht="15" hidden="false" customHeight="false" outlineLevel="0" collapsed="false">
      <c r="A4" s="5" t="s">
        <v>151</v>
      </c>
      <c r="B4" s="5" t="s">
        <v>152</v>
      </c>
      <c r="C4" s="5" t="s">
        <v>153</v>
      </c>
      <c r="D4" s="5" t="s">
        <v>154</v>
      </c>
      <c r="E4" s="5" t="s">
        <v>155</v>
      </c>
      <c r="F4" s="5" t="s">
        <v>156</v>
      </c>
      <c r="G4" s="5" t="s">
        <v>157</v>
      </c>
      <c r="H4" s="5" t="s">
        <v>158</v>
      </c>
      <c r="I4" s="5" t="s">
        <v>159</v>
      </c>
      <c r="J4" s="5" t="s">
        <v>160</v>
      </c>
    </row>
    <row r="5" customFormat="false" ht="15" hidden="false" customHeight="false" outlineLevel="0" collapsed="false">
      <c r="A5" s="7" t="s">
        <v>161</v>
      </c>
      <c r="B5" s="7" t="s">
        <v>162</v>
      </c>
      <c r="C5" s="7" t="s">
        <v>88</v>
      </c>
      <c r="D5" s="7" t="s">
        <v>163</v>
      </c>
      <c r="E5" s="7" t="s">
        <v>164</v>
      </c>
      <c r="F5" s="6" t="s">
        <v>165</v>
      </c>
      <c r="G5" s="6" t="s">
        <v>166</v>
      </c>
      <c r="H5" s="6" t="n">
        <v>9</v>
      </c>
      <c r="I5" s="19" t="n">
        <v>4250</v>
      </c>
      <c r="J5" s="19" t="n">
        <v>2762</v>
      </c>
    </row>
    <row r="6" customFormat="false" ht="15" hidden="false" customHeight="false" outlineLevel="0" collapsed="false">
      <c r="A6" s="7" t="s">
        <v>167</v>
      </c>
      <c r="B6" s="7" t="s">
        <v>168</v>
      </c>
      <c r="C6" s="7" t="s">
        <v>85</v>
      </c>
      <c r="D6" s="7" t="s">
        <v>169</v>
      </c>
      <c r="E6" s="7" t="s">
        <v>170</v>
      </c>
      <c r="F6" s="6" t="s">
        <v>171</v>
      </c>
      <c r="G6" s="6" t="s">
        <v>172</v>
      </c>
      <c r="H6" s="6" t="n">
        <v>14</v>
      </c>
      <c r="I6" s="19" t="n">
        <v>8900</v>
      </c>
      <c r="J6" s="19" t="n">
        <v>4450</v>
      </c>
    </row>
    <row r="7" customFormat="false" ht="15" hidden="false" customHeight="false" outlineLevel="0" collapsed="false">
      <c r="A7" s="7" t="s">
        <v>173</v>
      </c>
      <c r="B7" s="7" t="s">
        <v>174</v>
      </c>
      <c r="C7" s="7" t="s">
        <v>85</v>
      </c>
      <c r="D7" s="7" t="s">
        <v>163</v>
      </c>
      <c r="E7" s="7" t="s">
        <v>175</v>
      </c>
      <c r="F7" s="6" t="s">
        <v>176</v>
      </c>
      <c r="G7" s="6"/>
      <c r="H7" s="6" t="n">
        <v>11</v>
      </c>
      <c r="I7" s="19" t="n">
        <v>5400</v>
      </c>
      <c r="J7" s="19" t="n">
        <v>2700</v>
      </c>
    </row>
    <row r="8" customFormat="false" ht="15" hidden="false" customHeight="false" outlineLevel="0" collapsed="false">
      <c r="A8" s="7" t="s">
        <v>177</v>
      </c>
      <c r="B8" s="7" t="s">
        <v>178</v>
      </c>
      <c r="C8" s="7" t="s">
        <v>91</v>
      </c>
      <c r="D8" s="7" t="s">
        <v>179</v>
      </c>
      <c r="E8" s="7" t="s">
        <v>164</v>
      </c>
      <c r="F8" s="6" t="s">
        <v>180</v>
      </c>
      <c r="G8" s="6" t="s">
        <v>181</v>
      </c>
      <c r="H8" s="6" t="n">
        <v>22</v>
      </c>
      <c r="I8" s="19" t="n">
        <v>6700</v>
      </c>
      <c r="J8" s="19" t="n">
        <v>3082</v>
      </c>
    </row>
    <row r="9" customFormat="false" ht="15" hidden="false" customHeight="false" outlineLevel="0" collapsed="false">
      <c r="A9" s="7" t="s">
        <v>182</v>
      </c>
      <c r="B9" s="7" t="s">
        <v>183</v>
      </c>
      <c r="C9" s="7" t="s">
        <v>94</v>
      </c>
      <c r="D9" s="7" t="s">
        <v>179</v>
      </c>
      <c r="E9" s="7" t="s">
        <v>164</v>
      </c>
      <c r="F9" s="6" t="s">
        <v>166</v>
      </c>
      <c r="G9" s="6" t="s">
        <v>184</v>
      </c>
      <c r="H9" s="6" t="n">
        <v>50</v>
      </c>
      <c r="I9" s="19" t="n">
        <v>4900</v>
      </c>
      <c r="J9" s="19" t="n">
        <v>4900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7" min="7" style="0" width="18"/>
  </cols>
  <sheetData>
    <row r="1" customFormat="false" ht="21.75" hidden="false" customHeight="true" outlineLevel="0" collapsed="false">
      <c r="A1" s="1" t="s">
        <v>185</v>
      </c>
    </row>
    <row r="2" customFormat="false" ht="15" hidden="false" customHeight="false" outlineLevel="0" collapsed="false">
      <c r="A2" s="4" t="s">
        <v>186</v>
      </c>
    </row>
    <row r="4" customFormat="false" ht="15" hidden="false" customHeight="false" outlineLevel="0" collapsed="false">
      <c r="A4" s="5" t="s">
        <v>187</v>
      </c>
      <c r="B4" s="5" t="s">
        <v>188</v>
      </c>
      <c r="C4" s="5" t="s">
        <v>189</v>
      </c>
      <c r="D4" s="5" t="s">
        <v>190</v>
      </c>
      <c r="E4" s="5" t="s">
        <v>191</v>
      </c>
      <c r="F4" s="5" t="s">
        <v>192</v>
      </c>
      <c r="G4" s="5" t="s">
        <v>193</v>
      </c>
    </row>
    <row r="5" customFormat="false" ht="15" hidden="false" customHeight="false" outlineLevel="0" collapsed="false">
      <c r="A5" s="7" t="s">
        <v>174</v>
      </c>
      <c r="B5" s="7" t="s">
        <v>85</v>
      </c>
      <c r="C5" s="6" t="n">
        <v>8</v>
      </c>
      <c r="D5" s="6" t="n">
        <v>22</v>
      </c>
      <c r="E5" s="6" t="n">
        <v>6</v>
      </c>
      <c r="F5" s="24" t="n">
        <f aca="false">D5/(D5+E5)</f>
        <v>0.785714285714286</v>
      </c>
      <c r="G5" s="19" t="n">
        <v>18900</v>
      </c>
    </row>
    <row r="6" customFormat="false" ht="15" hidden="false" customHeight="false" outlineLevel="0" collapsed="false">
      <c r="A6" s="7" t="s">
        <v>194</v>
      </c>
      <c r="B6" s="7" t="s">
        <v>85</v>
      </c>
      <c r="C6" s="6" t="n">
        <v>5</v>
      </c>
      <c r="D6" s="6" t="n">
        <v>14</v>
      </c>
      <c r="E6" s="6" t="n">
        <v>4</v>
      </c>
      <c r="F6" s="24" t="n">
        <f aca="false">D6/(D6+E6)</f>
        <v>0.777777777777778</v>
      </c>
      <c r="G6" s="19" t="n">
        <v>11400</v>
      </c>
    </row>
    <row r="7" customFormat="false" ht="15" hidden="false" customHeight="false" outlineLevel="0" collapsed="false">
      <c r="A7" s="7" t="s">
        <v>195</v>
      </c>
      <c r="B7" s="7" t="s">
        <v>85</v>
      </c>
      <c r="C7" s="6" t="n">
        <v>3</v>
      </c>
      <c r="D7" s="6" t="n">
        <v>9</v>
      </c>
      <c r="E7" s="6" t="n">
        <v>3</v>
      </c>
      <c r="F7" s="24" t="n">
        <f aca="false">D7/(D7+E7)</f>
        <v>0.75</v>
      </c>
      <c r="G7" s="19" t="n">
        <v>7200</v>
      </c>
    </row>
    <row r="8" customFormat="false" ht="15" hidden="false" customHeight="false" outlineLevel="0" collapsed="false">
      <c r="A8" s="7" t="s">
        <v>168</v>
      </c>
      <c r="B8" s="7" t="s">
        <v>85</v>
      </c>
      <c r="C8" s="6" t="n">
        <v>11</v>
      </c>
      <c r="D8" s="6" t="n">
        <v>28</v>
      </c>
      <c r="E8" s="6" t="n">
        <v>7</v>
      </c>
      <c r="F8" s="24" t="n">
        <f aca="false">D8/(D8+E8)</f>
        <v>0.8</v>
      </c>
      <c r="G8" s="19" t="n">
        <v>24600</v>
      </c>
    </row>
    <row r="9" customFormat="false" ht="15" hidden="false" customHeight="false" outlineLevel="0" collapsed="false">
      <c r="A9" s="20" t="s">
        <v>196</v>
      </c>
      <c r="C9" s="20" t="n">
        <f aca="false">SUM(C5:C8)</f>
        <v>27</v>
      </c>
      <c r="D9" s="20" t="n">
        <f aca="false">SUM(D5:D8)</f>
        <v>73</v>
      </c>
      <c r="E9" s="20" t="n">
        <f aca="false">SUM(E5:E8)</f>
        <v>20</v>
      </c>
      <c r="F9" s="28" t="n">
        <f aca="false">D9/(D9+E9)</f>
        <v>0.78494623655914</v>
      </c>
      <c r="G9" s="29" t="n">
        <f aca="false">SUM(G5:G8)</f>
        <v>62100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197</v>
      </c>
    </row>
    <row r="2" customFormat="false" ht="15" hidden="false" customHeight="false" outlineLevel="0" collapsed="false">
      <c r="A2" s="4" t="s">
        <v>198</v>
      </c>
    </row>
    <row r="4" customFormat="false" ht="15" hidden="false" customHeight="false" outlineLevel="0" collapsed="false">
      <c r="A4" s="5" t="s">
        <v>199</v>
      </c>
      <c r="B4" s="5" t="s">
        <v>200</v>
      </c>
      <c r="C4" s="5" t="s">
        <v>152</v>
      </c>
      <c r="D4" s="5" t="s">
        <v>187</v>
      </c>
      <c r="E4" s="5" t="s">
        <v>154</v>
      </c>
      <c r="F4" s="5" t="s">
        <v>158</v>
      </c>
      <c r="G4" s="5" t="s">
        <v>201</v>
      </c>
      <c r="H4" s="5" t="s">
        <v>155</v>
      </c>
      <c r="I4" s="5" t="s">
        <v>202</v>
      </c>
    </row>
    <row r="5" customFormat="false" ht="15" hidden="false" customHeight="false" outlineLevel="0" collapsed="false">
      <c r="A5" s="7" t="s">
        <v>203</v>
      </c>
      <c r="B5" s="6" t="s">
        <v>204</v>
      </c>
      <c r="C5" s="7" t="s">
        <v>205</v>
      </c>
      <c r="D5" s="7" t="s">
        <v>174</v>
      </c>
      <c r="E5" s="7" t="s">
        <v>163</v>
      </c>
      <c r="F5" s="6" t="n">
        <v>9</v>
      </c>
      <c r="G5" s="19" t="n">
        <v>4250</v>
      </c>
      <c r="H5" s="7" t="s">
        <v>206</v>
      </c>
      <c r="I5" s="6" t="n">
        <v>7</v>
      </c>
    </row>
    <row r="6" customFormat="false" ht="15" hidden="false" customHeight="false" outlineLevel="0" collapsed="false">
      <c r="A6" s="7" t="s">
        <v>207</v>
      </c>
      <c r="B6" s="6" t="s">
        <v>208</v>
      </c>
      <c r="C6" s="7" t="s">
        <v>209</v>
      </c>
      <c r="D6" s="7" t="s">
        <v>194</v>
      </c>
      <c r="E6" s="7" t="s">
        <v>169</v>
      </c>
      <c r="F6" s="6" t="n">
        <v>12</v>
      </c>
      <c r="G6" s="19" t="n">
        <v>7800</v>
      </c>
      <c r="H6" s="7" t="s">
        <v>206</v>
      </c>
      <c r="I6" s="6" t="n">
        <v>10</v>
      </c>
    </row>
    <row r="7" customFormat="false" ht="15" hidden="false" customHeight="false" outlineLevel="0" collapsed="false">
      <c r="A7" s="7" t="s">
        <v>210</v>
      </c>
      <c r="B7" s="6" t="s">
        <v>166</v>
      </c>
      <c r="C7" s="7" t="s">
        <v>211</v>
      </c>
      <c r="D7" s="7" t="s">
        <v>168</v>
      </c>
      <c r="E7" s="7" t="s">
        <v>212</v>
      </c>
      <c r="F7" s="6" t="n">
        <v>18</v>
      </c>
      <c r="G7" s="19" t="n">
        <v>14200</v>
      </c>
      <c r="H7" s="7" t="s">
        <v>213</v>
      </c>
      <c r="I7" s="6" t="n">
        <v>14</v>
      </c>
    </row>
    <row r="8" customFormat="false" ht="15" hidden="false" customHeight="false" outlineLevel="0" collapsed="false">
      <c r="A8" s="7" t="s">
        <v>214</v>
      </c>
      <c r="B8" s="6" t="s">
        <v>165</v>
      </c>
      <c r="C8" s="7" t="s">
        <v>215</v>
      </c>
      <c r="D8" s="7" t="s">
        <v>195</v>
      </c>
      <c r="E8" s="7" t="s">
        <v>179</v>
      </c>
      <c r="F8" s="6" t="n">
        <v>7</v>
      </c>
      <c r="G8" s="19" t="n">
        <v>2200</v>
      </c>
      <c r="H8" s="7" t="s">
        <v>216</v>
      </c>
      <c r="I8" s="6" t="n">
        <v>17</v>
      </c>
    </row>
    <row r="9" customFormat="false" ht="15" hidden="false" customHeight="false" outlineLevel="0" collapsed="false">
      <c r="A9" s="7" t="s">
        <v>217</v>
      </c>
      <c r="B9" s="6" t="s">
        <v>218</v>
      </c>
      <c r="C9" s="7" t="s">
        <v>219</v>
      </c>
      <c r="D9" s="7" t="s">
        <v>168</v>
      </c>
      <c r="E9" s="7" t="s">
        <v>163</v>
      </c>
      <c r="F9" s="6" t="n">
        <v>10</v>
      </c>
      <c r="G9" s="19" t="n">
        <v>5100</v>
      </c>
      <c r="H9" s="7" t="s">
        <v>206</v>
      </c>
      <c r="I9" s="6" t="n">
        <v>4</v>
      </c>
    </row>
    <row r="10" customFormat="false" ht="15" hidden="false" customHeight="false" outlineLevel="0" collapsed="false">
      <c r="A10" s="7" t="s">
        <v>220</v>
      </c>
      <c r="B10" s="6" t="s">
        <v>221</v>
      </c>
      <c r="C10" s="7" t="s">
        <v>222</v>
      </c>
      <c r="D10" s="7" t="s">
        <v>174</v>
      </c>
      <c r="E10" s="7" t="s">
        <v>212</v>
      </c>
      <c r="F10" s="6" t="n">
        <v>21</v>
      </c>
      <c r="G10" s="19" t="n">
        <v>18900</v>
      </c>
      <c r="H10" s="7" t="s">
        <v>206</v>
      </c>
      <c r="I10" s="6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1" style="0" width="14"/>
  </cols>
  <sheetData>
    <row r="1" customFormat="false" ht="21.75" hidden="false" customHeight="true" outlineLevel="0" collapsed="false">
      <c r="A1" s="1" t="s">
        <v>223</v>
      </c>
    </row>
    <row r="2" customFormat="false" ht="15" hidden="false" customHeight="false" outlineLevel="0" collapsed="false">
      <c r="A2" s="4" t="s">
        <v>224</v>
      </c>
    </row>
    <row r="4" customFormat="false" ht="15" hidden="false" customHeight="false" outlineLevel="0" collapsed="false">
      <c r="A4" s="5" t="s">
        <v>151</v>
      </c>
      <c r="B4" s="5" t="s">
        <v>225</v>
      </c>
      <c r="C4" s="5" t="s">
        <v>226</v>
      </c>
      <c r="D4" s="5" t="s">
        <v>59</v>
      </c>
      <c r="E4" s="5" t="s">
        <v>154</v>
      </c>
      <c r="F4" s="5" t="s">
        <v>227</v>
      </c>
      <c r="G4" s="5" t="s">
        <v>228</v>
      </c>
      <c r="H4" s="5" t="s">
        <v>229</v>
      </c>
      <c r="I4" s="5" t="s">
        <v>230</v>
      </c>
      <c r="J4" s="5" t="s">
        <v>231</v>
      </c>
      <c r="K4" s="5" t="s">
        <v>232</v>
      </c>
      <c r="L4" s="5" t="s">
        <v>233</v>
      </c>
    </row>
    <row r="5" customFormat="false" ht="15" hidden="false" customHeight="false" outlineLevel="0" collapsed="false">
      <c r="A5" s="7" t="s">
        <v>161</v>
      </c>
      <c r="B5" s="6" t="n">
        <v>1</v>
      </c>
      <c r="C5" s="7" t="s">
        <v>234</v>
      </c>
      <c r="D5" s="6" t="n">
        <v>18</v>
      </c>
      <c r="E5" s="7" t="s">
        <v>163</v>
      </c>
      <c r="F5" s="7" t="s">
        <v>235</v>
      </c>
      <c r="G5" s="19" t="n">
        <v>374</v>
      </c>
      <c r="H5" s="6" t="n">
        <v>1</v>
      </c>
      <c r="I5" s="17" t="n">
        <f aca="false">G5*H5</f>
        <v>374</v>
      </c>
      <c r="J5" s="17" t="n">
        <f aca="false">I5*0.65</f>
        <v>243.1</v>
      </c>
      <c r="K5" s="17" t="n">
        <f aca="false">I5*0.1</f>
        <v>37.4</v>
      </c>
      <c r="L5" s="18" t="s">
        <v>236</v>
      </c>
    </row>
    <row r="6" customFormat="false" ht="15" hidden="false" customHeight="false" outlineLevel="0" collapsed="false">
      <c r="A6" s="7" t="s">
        <v>161</v>
      </c>
      <c r="B6" s="6" t="n">
        <v>2</v>
      </c>
      <c r="C6" s="7" t="s">
        <v>237</v>
      </c>
      <c r="D6" s="6" t="n">
        <v>24</v>
      </c>
      <c r="E6" s="7" t="s">
        <v>163</v>
      </c>
      <c r="F6" s="7" t="s">
        <v>235</v>
      </c>
      <c r="G6" s="19" t="n">
        <v>531</v>
      </c>
      <c r="H6" s="6" t="n">
        <v>1</v>
      </c>
      <c r="I6" s="17" t="n">
        <f aca="false">G6*H6</f>
        <v>531</v>
      </c>
      <c r="J6" s="17" t="n">
        <f aca="false">I6*0.65</f>
        <v>345.15</v>
      </c>
      <c r="K6" s="17" t="n">
        <f aca="false">I6*0.1</f>
        <v>53.1</v>
      </c>
      <c r="L6" s="18" t="s">
        <v>236</v>
      </c>
    </row>
    <row r="7" customFormat="false" ht="15" hidden="false" customHeight="false" outlineLevel="0" collapsed="false">
      <c r="A7" s="7" t="s">
        <v>161</v>
      </c>
      <c r="B7" s="6" t="n">
        <v>3</v>
      </c>
      <c r="C7" s="7" t="s">
        <v>238</v>
      </c>
      <c r="D7" s="6" t="n">
        <v>18</v>
      </c>
      <c r="E7" s="7" t="s">
        <v>163</v>
      </c>
      <c r="F7" s="7" t="s">
        <v>235</v>
      </c>
      <c r="G7" s="19" t="n">
        <v>374</v>
      </c>
      <c r="H7" s="6" t="n">
        <v>1</v>
      </c>
      <c r="I7" s="17" t="n">
        <f aca="false">G7*H7</f>
        <v>374</v>
      </c>
      <c r="J7" s="17" t="n">
        <f aca="false">I7*0.65</f>
        <v>243.1</v>
      </c>
      <c r="K7" s="17" t="n">
        <f aca="false">I7*0.1</f>
        <v>37.4</v>
      </c>
      <c r="L7" s="18" t="s">
        <v>236</v>
      </c>
    </row>
    <row r="8" customFormat="false" ht="15" hidden="false" customHeight="false" outlineLevel="0" collapsed="false">
      <c r="A8" s="7" t="s">
        <v>161</v>
      </c>
      <c r="B8" s="6" t="n">
        <v>4</v>
      </c>
      <c r="C8" s="7" t="s">
        <v>239</v>
      </c>
      <c r="D8" s="6" t="n">
        <v>33</v>
      </c>
      <c r="E8" s="7" t="s">
        <v>163</v>
      </c>
      <c r="F8" s="7" t="s">
        <v>235</v>
      </c>
      <c r="G8" s="19" t="n">
        <v>778</v>
      </c>
      <c r="H8" s="6" t="n">
        <v>1</v>
      </c>
      <c r="I8" s="17" t="n">
        <f aca="false">G8*H8</f>
        <v>778</v>
      </c>
      <c r="J8" s="17" t="n">
        <f aca="false">I8*0.65</f>
        <v>505.7</v>
      </c>
      <c r="K8" s="17" t="n">
        <f aca="false">I8*0.1</f>
        <v>77.8</v>
      </c>
      <c r="L8" s="18" t="s">
        <v>236</v>
      </c>
    </row>
    <row r="9" customFormat="false" ht="15" hidden="false" customHeight="false" outlineLevel="0" collapsed="false">
      <c r="A9" s="7" t="s">
        <v>161</v>
      </c>
      <c r="B9" s="6" t="n">
        <v>5</v>
      </c>
      <c r="C9" s="7" t="s">
        <v>240</v>
      </c>
      <c r="D9" s="6" t="n">
        <v>15</v>
      </c>
      <c r="E9" s="7" t="s">
        <v>163</v>
      </c>
      <c r="F9" s="7" t="s">
        <v>235</v>
      </c>
      <c r="G9" s="19" t="n">
        <v>286</v>
      </c>
      <c r="H9" s="6" t="n">
        <v>2</v>
      </c>
      <c r="I9" s="17" t="n">
        <f aca="false">G9*H9</f>
        <v>572</v>
      </c>
      <c r="J9" s="17" t="n">
        <f aca="false">I9*0.65</f>
        <v>371.8</v>
      </c>
      <c r="K9" s="17" t="n">
        <f aca="false">I9*0.1</f>
        <v>57.2</v>
      </c>
      <c r="L9" s="18" t="s">
        <v>236</v>
      </c>
    </row>
    <row r="10" customFormat="false" ht="15" hidden="false" customHeight="false" outlineLevel="0" collapsed="false">
      <c r="A10" s="7" t="s">
        <v>161</v>
      </c>
      <c r="B10" s="6" t="n">
        <v>6</v>
      </c>
      <c r="C10" s="7" t="s">
        <v>241</v>
      </c>
      <c r="D10" s="6" t="n">
        <v>30</v>
      </c>
      <c r="E10" s="7" t="s">
        <v>163</v>
      </c>
      <c r="F10" s="7" t="s">
        <v>235</v>
      </c>
      <c r="G10" s="19" t="n">
        <v>696</v>
      </c>
      <c r="H10" s="6" t="n">
        <v>1</v>
      </c>
      <c r="I10" s="17" t="n">
        <f aca="false">G10*H10</f>
        <v>696</v>
      </c>
      <c r="J10" s="17" t="n">
        <f aca="false">I10*0.65</f>
        <v>452.4</v>
      </c>
      <c r="K10" s="17" t="n">
        <f aca="false">I10*0.1</f>
        <v>69.6</v>
      </c>
      <c r="L10" s="18" t="s">
        <v>236</v>
      </c>
    </row>
    <row r="11" customFormat="false" ht="15" hidden="false" customHeight="false" outlineLevel="0" collapsed="false">
      <c r="A11" s="7" t="s">
        <v>161</v>
      </c>
      <c r="B11" s="6" t="n">
        <v>7</v>
      </c>
      <c r="C11" s="7" t="s">
        <v>242</v>
      </c>
      <c r="D11" s="6" t="n">
        <v>24</v>
      </c>
      <c r="E11" s="7" t="s">
        <v>163</v>
      </c>
      <c r="F11" s="7" t="s">
        <v>235</v>
      </c>
      <c r="G11" s="19" t="n">
        <v>531</v>
      </c>
      <c r="H11" s="6" t="n">
        <v>1</v>
      </c>
      <c r="I11" s="17" t="n">
        <f aca="false">G11*H11</f>
        <v>531</v>
      </c>
      <c r="J11" s="17" t="n">
        <f aca="false">I11*0.65</f>
        <v>345.15</v>
      </c>
      <c r="K11" s="17" t="n">
        <f aca="false">I11*0.1</f>
        <v>53.1</v>
      </c>
      <c r="L11" s="18" t="s">
        <v>236</v>
      </c>
    </row>
    <row r="12" customFormat="false" ht="15" hidden="false" customHeight="false" outlineLevel="0" collapsed="false">
      <c r="A12" s="7" t="s">
        <v>161</v>
      </c>
      <c r="B12" s="6" t="n">
        <v>8</v>
      </c>
      <c r="C12" s="7" t="s">
        <v>243</v>
      </c>
      <c r="D12" s="6" t="s">
        <v>244</v>
      </c>
      <c r="E12" s="7" t="s">
        <v>163</v>
      </c>
      <c r="F12" s="7" t="s">
        <v>115</v>
      </c>
      <c r="G12" s="19" t="n">
        <v>95</v>
      </c>
      <c r="H12" s="6" t="n">
        <v>2</v>
      </c>
      <c r="I12" s="17" t="n">
        <f aca="false">G12*H12</f>
        <v>190</v>
      </c>
      <c r="J12" s="17" t="n">
        <f aca="false">I12*0.65</f>
        <v>123.5</v>
      </c>
      <c r="K12" s="30" t="n">
        <v>0</v>
      </c>
      <c r="L12" s="18" t="s">
        <v>244</v>
      </c>
    </row>
    <row r="13" customFormat="false" ht="15" hidden="false" customHeight="false" outlineLevel="0" collapsed="false">
      <c r="A13" s="7" t="s">
        <v>161</v>
      </c>
      <c r="B13" s="6" t="n">
        <v>9</v>
      </c>
      <c r="C13" s="7" t="s">
        <v>245</v>
      </c>
      <c r="D13" s="6" t="s">
        <v>244</v>
      </c>
      <c r="E13" s="7" t="s">
        <v>163</v>
      </c>
      <c r="F13" s="7" t="s">
        <v>246</v>
      </c>
      <c r="G13" s="19" t="n">
        <v>620</v>
      </c>
      <c r="H13" s="6" t="n">
        <v>1</v>
      </c>
      <c r="I13" s="17" t="n">
        <f aca="false">G13*H13</f>
        <v>620</v>
      </c>
      <c r="J13" s="17" t="n">
        <f aca="false">I13*0.65</f>
        <v>403</v>
      </c>
      <c r="K13" s="30" t="n">
        <v>0</v>
      </c>
      <c r="L13" s="18" t="s">
        <v>244</v>
      </c>
    </row>
    <row r="14" customFormat="false" ht="15" hidden="false" customHeight="false" outlineLevel="0" collapsed="false">
      <c r="A14" s="20" t="s">
        <v>196</v>
      </c>
      <c r="I14" s="29" t="n">
        <f aca="false">SUM(I5:I13)</f>
        <v>4666</v>
      </c>
      <c r="J14" s="29" t="n">
        <f aca="false">SUM(J5:J13)</f>
        <v>3032.9</v>
      </c>
      <c r="K14" s="29" t="n">
        <f aca="false">SUM(K5:K13)</f>
        <v>385.6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6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1.75" hidden="false" customHeight="true" outlineLevel="0" collapsed="false">
      <c r="A1" s="1" t="s">
        <v>247</v>
      </c>
    </row>
    <row r="2" customFormat="false" ht="15" hidden="false" customHeight="false" outlineLevel="0" collapsed="false">
      <c r="A2" s="4" t="s">
        <v>248</v>
      </c>
    </row>
    <row r="4" customFormat="false" ht="15" hidden="false" customHeight="false" outlineLevel="0" collapsed="false">
      <c r="A4" s="5" t="s">
        <v>199</v>
      </c>
      <c r="B4" s="5" t="s">
        <v>225</v>
      </c>
      <c r="C4" s="5" t="s">
        <v>249</v>
      </c>
      <c r="D4" s="5" t="s">
        <v>59</v>
      </c>
      <c r="E4" s="5" t="s">
        <v>154</v>
      </c>
      <c r="F4" s="5" t="s">
        <v>228</v>
      </c>
      <c r="G4" s="5" t="s">
        <v>229</v>
      </c>
      <c r="H4" s="5" t="s">
        <v>250</v>
      </c>
      <c r="I4" s="5" t="s">
        <v>251</v>
      </c>
    </row>
    <row r="5" customFormat="false" ht="15" hidden="false" customHeight="false" outlineLevel="0" collapsed="false">
      <c r="A5" s="7" t="s">
        <v>203</v>
      </c>
      <c r="B5" s="6" t="n">
        <v>1</v>
      </c>
      <c r="C5" s="7" t="s">
        <v>234</v>
      </c>
      <c r="D5" s="6" t="n">
        <v>18</v>
      </c>
      <c r="E5" s="7" t="s">
        <v>163</v>
      </c>
      <c r="F5" s="19" t="n">
        <v>366</v>
      </c>
      <c r="G5" s="6" t="n">
        <v>1</v>
      </c>
      <c r="H5" s="17" t="n">
        <f aca="false">F5*G5</f>
        <v>366</v>
      </c>
      <c r="I5" s="17" t="n">
        <f aca="false">H5*0.5</f>
        <v>183</v>
      </c>
    </row>
    <row r="6" customFormat="false" ht="15" hidden="false" customHeight="false" outlineLevel="0" collapsed="false">
      <c r="A6" s="7" t="s">
        <v>203</v>
      </c>
      <c r="B6" s="6" t="n">
        <v>2</v>
      </c>
      <c r="C6" s="7" t="s">
        <v>237</v>
      </c>
      <c r="D6" s="6" t="n">
        <v>24</v>
      </c>
      <c r="E6" s="7" t="s">
        <v>163</v>
      </c>
      <c r="F6" s="19" t="n">
        <v>531</v>
      </c>
      <c r="G6" s="6" t="n">
        <v>1</v>
      </c>
      <c r="H6" s="17" t="n">
        <f aca="false">F6*G6</f>
        <v>531</v>
      </c>
      <c r="I6" s="17" t="n">
        <f aca="false">H6*0.5</f>
        <v>265.5</v>
      </c>
    </row>
    <row r="7" customFormat="false" ht="15" hidden="false" customHeight="false" outlineLevel="0" collapsed="false">
      <c r="A7" s="7" t="s">
        <v>203</v>
      </c>
      <c r="B7" s="6" t="n">
        <v>3</v>
      </c>
      <c r="C7" s="7" t="s">
        <v>238</v>
      </c>
      <c r="D7" s="6" t="n">
        <v>18</v>
      </c>
      <c r="E7" s="7" t="s">
        <v>163</v>
      </c>
      <c r="F7" s="19" t="n">
        <v>374</v>
      </c>
      <c r="G7" s="6" t="n">
        <v>1</v>
      </c>
      <c r="H7" s="17" t="n">
        <f aca="false">F7*G7</f>
        <v>374</v>
      </c>
      <c r="I7" s="17" t="n">
        <f aca="false">H7*0.5</f>
        <v>187</v>
      </c>
    </row>
    <row r="8" customFormat="false" ht="15" hidden="false" customHeight="false" outlineLevel="0" collapsed="false">
      <c r="A8" s="7" t="s">
        <v>203</v>
      </c>
      <c r="B8" s="6" t="n">
        <v>4</v>
      </c>
      <c r="C8" s="7" t="s">
        <v>239</v>
      </c>
      <c r="D8" s="6" t="n">
        <v>33</v>
      </c>
      <c r="E8" s="7" t="s">
        <v>163</v>
      </c>
      <c r="F8" s="19" t="n">
        <v>778</v>
      </c>
      <c r="G8" s="6" t="n">
        <v>1</v>
      </c>
      <c r="H8" s="17" t="n">
        <f aca="false">F8*G8</f>
        <v>778</v>
      </c>
      <c r="I8" s="17" t="n">
        <f aca="false">H8*0.5</f>
        <v>389</v>
      </c>
    </row>
    <row r="9" customFormat="false" ht="15" hidden="false" customHeight="false" outlineLevel="0" collapsed="false">
      <c r="A9" s="7" t="s">
        <v>203</v>
      </c>
      <c r="B9" s="6" t="n">
        <v>5</v>
      </c>
      <c r="C9" s="7" t="s">
        <v>240</v>
      </c>
      <c r="D9" s="6" t="n">
        <v>15</v>
      </c>
      <c r="E9" s="7" t="s">
        <v>163</v>
      </c>
      <c r="F9" s="19" t="n">
        <v>286</v>
      </c>
      <c r="G9" s="6" t="n">
        <v>2</v>
      </c>
      <c r="H9" s="17" t="n">
        <f aca="false">F9*G9</f>
        <v>572</v>
      </c>
      <c r="I9" s="17" t="n">
        <f aca="false">H9*0.5</f>
        <v>286</v>
      </c>
    </row>
    <row r="10" customFormat="false" ht="15" hidden="false" customHeight="false" outlineLevel="0" collapsed="false">
      <c r="A10" s="7" t="s">
        <v>203</v>
      </c>
      <c r="B10" s="6" t="n">
        <v>6</v>
      </c>
      <c r="C10" s="7" t="s">
        <v>241</v>
      </c>
      <c r="D10" s="6" t="n">
        <v>30</v>
      </c>
      <c r="E10" s="7" t="s">
        <v>163</v>
      </c>
      <c r="F10" s="19" t="n">
        <v>696</v>
      </c>
      <c r="G10" s="6" t="n">
        <v>1</v>
      </c>
      <c r="H10" s="17" t="n">
        <f aca="false">F10*G10</f>
        <v>696</v>
      </c>
      <c r="I10" s="17" t="n">
        <f aca="false">H10*0.5</f>
        <v>348</v>
      </c>
    </row>
    <row r="11" customFormat="false" ht="15" hidden="false" customHeight="false" outlineLevel="0" collapsed="false">
      <c r="A11" s="7" t="s">
        <v>203</v>
      </c>
      <c r="B11" s="6" t="n">
        <v>7</v>
      </c>
      <c r="C11" s="7" t="s">
        <v>242</v>
      </c>
      <c r="D11" s="6" t="n">
        <v>24</v>
      </c>
      <c r="E11" s="7" t="s">
        <v>163</v>
      </c>
      <c r="F11" s="19" t="n">
        <v>531</v>
      </c>
      <c r="G11" s="6" t="n">
        <v>1</v>
      </c>
      <c r="H11" s="17" t="n">
        <f aca="false">F11*G11</f>
        <v>531</v>
      </c>
      <c r="I11" s="17" t="n">
        <f aca="false">H11*0.5</f>
        <v>265.5</v>
      </c>
    </row>
    <row r="12" customFormat="false" ht="15" hidden="false" customHeight="false" outlineLevel="0" collapsed="false">
      <c r="A12" s="7" t="s">
        <v>203</v>
      </c>
      <c r="B12" s="6" t="n">
        <v>8</v>
      </c>
      <c r="C12" s="7" t="s">
        <v>243</v>
      </c>
      <c r="D12" s="6" t="s">
        <v>244</v>
      </c>
      <c r="E12" s="7" t="s">
        <v>163</v>
      </c>
      <c r="F12" s="19" t="n">
        <v>95</v>
      </c>
      <c r="G12" s="6" t="n">
        <v>2</v>
      </c>
      <c r="H12" s="17" t="n">
        <f aca="false">F12*G12</f>
        <v>190</v>
      </c>
      <c r="I12" s="17" t="n">
        <f aca="false">H12*0.5</f>
        <v>95</v>
      </c>
    </row>
    <row r="13" customFormat="false" ht="15" hidden="false" customHeight="false" outlineLevel="0" collapsed="false">
      <c r="A13" s="7" t="s">
        <v>203</v>
      </c>
      <c r="B13" s="6" t="n">
        <v>9</v>
      </c>
      <c r="C13" s="7" t="s">
        <v>245</v>
      </c>
      <c r="D13" s="6" t="s">
        <v>244</v>
      </c>
      <c r="E13" s="7" t="s">
        <v>163</v>
      </c>
      <c r="F13" s="19" t="n">
        <v>620</v>
      </c>
      <c r="G13" s="6" t="n">
        <v>1</v>
      </c>
      <c r="H13" s="17" t="n">
        <f aca="false">F13*G13</f>
        <v>620</v>
      </c>
      <c r="I13" s="17" t="n">
        <f aca="false">H13*0.5</f>
        <v>310</v>
      </c>
    </row>
    <row r="14" customFormat="false" ht="15" hidden="false" customHeight="false" outlineLevel="0" collapsed="false">
      <c r="A14" s="20" t="s">
        <v>196</v>
      </c>
      <c r="H14" s="29" t="n">
        <f aca="false">SUM(H5:H13)</f>
        <v>4658</v>
      </c>
      <c r="I14" s="29" t="n">
        <f aca="false">SUM(I5:I13)</f>
        <v>2329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2026-05-30T02:51:17Z</dcterms:created>
  <dc:creator>openpyxl</dc:creator>
  <dc:description/>
  <dc:language>en-US</dc:language>
  <cp:lastModifiedBy/>
  <dcterms:modified xsi:type="dcterms:W3CDTF">2026-05-30T02:51:17Z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